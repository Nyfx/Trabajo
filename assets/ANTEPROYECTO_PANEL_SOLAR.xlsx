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1C7C5766-E36F-438A-91B3-E5B5030D23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esupues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D9" i="1" s="1"/>
</calcChain>
</file>

<file path=xl/sharedStrings.xml><?xml version="1.0" encoding="utf-8"?>
<sst xmlns="http://schemas.openxmlformats.org/spreadsheetml/2006/main" count="12" uniqueCount="12">
  <si>
    <t>Componente</t>
  </si>
  <si>
    <t>Cantidad</t>
  </si>
  <si>
    <t>Precio Unitario ($)</t>
  </si>
  <si>
    <t>Subtotal ($)</t>
  </si>
  <si>
    <t>Paneles Solares 330W</t>
  </si>
  <si>
    <t>Inversor 2kW</t>
  </si>
  <si>
    <t>Baterías 12V 150Ah</t>
  </si>
  <si>
    <t>Controlador MPPT</t>
  </si>
  <si>
    <t>Cableado 50m</t>
  </si>
  <si>
    <t>Estructura + Protecciones</t>
  </si>
  <si>
    <t>Instalación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</si>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</sst>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Costos por Componente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Presupuesto!D1</c:f>
              <c:strCache>
                <c:ptCount val="1"/>
                <c:pt idx="0">
                  <c:v>Subtotal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Presupuesto!$A$2:$A$8</c:f>
              <c:strCache>
                <c:ptCount val="7"/>
                <c:pt idx="0">
                  <c:v>Paneles Solares 330W</c:v>
                </c:pt>
                <c:pt idx="1">
                  <c:v>Inversor 2kW</c:v>
                </c:pt>
                <c:pt idx="2">
                  <c:v>Baterías 12V 150Ah</c:v>
                </c:pt>
                <c:pt idx="3">
                  <c:v>Controlador MPPT</c:v>
                </c:pt>
                <c:pt idx="4">
                  <c:v>Cableado 50m</c:v>
                </c:pt>
                <c:pt idx="5">
                  <c:v>Estructura + Protecciones</c:v>
                </c:pt>
                <c:pt idx="6">
                  <c:v>Instalación</c:v>
                </c:pt>
              </c:strCache>
            </c:strRef>
          </c:cat>
          <c:val>
            <c:numRef>
              <c:f>Presupuesto!$D$2:$D$8</c:f>
              <c:numCache>
                <c:formatCode>General</c:formatCode>
                <c:ptCount val="7"/>
                <c:pt idx="0">
                  <c:v>1800000</c:v>
                </c:pt>
                <c:pt idx="1">
                  <c:v>850000</c:v>
                </c:pt>
                <c:pt idx="2">
                  <c:v>1300000</c:v>
                </c:pt>
                <c:pt idx="3">
                  <c:v>280000</c:v>
                </c:pt>
                <c:pt idx="4">
                  <c:v>300000</c:v>
                </c:pt>
                <c:pt idx="5">
                  <c:v>530000</c:v>
                </c:pt>
                <c:pt idx="6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B-4F22-8611-30D0AE7C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Componentes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Pesos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Distribución del Presupuesto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Presupuesto!$A$2:$A$8</c:f>
              <c:strCache>
                <c:ptCount val="7"/>
                <c:pt idx="0">
                  <c:v>Paneles Solares 330W</c:v>
                </c:pt>
                <c:pt idx="1">
                  <c:v>Inversor 2kW</c:v>
                </c:pt>
                <c:pt idx="2">
                  <c:v>Baterías 12V 150Ah</c:v>
                </c:pt>
                <c:pt idx="3">
                  <c:v>Controlador MPPT</c:v>
                </c:pt>
                <c:pt idx="4">
                  <c:v>Cableado 50m</c:v>
                </c:pt>
                <c:pt idx="5">
                  <c:v>Estructura + Protecciones</c:v>
                </c:pt>
                <c:pt idx="6">
                  <c:v>Instalación</c:v>
                </c:pt>
              </c:strCache>
            </c:strRef>
          </c:cat>
          <c:val>
            <c:numRef>
              <c:f>Presupuesto!$D$2:$D$8</c:f>
              <c:numCache>
                <c:formatCode>General</c:formatCode>
                <c:ptCount val="7"/>
                <c:pt idx="0">
                  <c:v>1800000</c:v>
                </c:pt>
                <c:pt idx="1">
                  <c:v>850000</c:v>
                </c:pt>
                <c:pt idx="2">
                  <c:v>1300000</c:v>
                </c:pt>
                <c:pt idx="3">
                  <c:v>280000</c:v>
                </c:pt>
                <c:pt idx="4">
                  <c:v>300000</c:v>
                </c:pt>
                <c:pt idx="5">
                  <c:v>530000</c:v>
                </c:pt>
                <c:pt idx="6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415-9892-6A7EB8B6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Comparación de Costos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Presupuesto!D1</c:f>
              <c:strCache>
                <c:ptCount val="1"/>
                <c:pt idx="0">
                  <c:v>Subtotal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Presupuesto!$D$2:$D$8</c:f>
              <c:numCache>
                <c:formatCode>General</c:formatCode>
                <c:ptCount val="7"/>
                <c:pt idx="0">
                  <c:v>1800000</c:v>
                </c:pt>
                <c:pt idx="1">
                  <c:v>850000</c:v>
                </c:pt>
                <c:pt idx="2">
                  <c:v>1300000</c:v>
                </c:pt>
                <c:pt idx="3">
                  <c:v>280000</c:v>
                </c:pt>
                <c:pt idx="4">
                  <c:v>300000</c:v>
                </c:pt>
                <c:pt idx="5">
                  <c:v>530000</c:v>
                </c:pt>
                <c:pt idx="6">
                  <c:v>400000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C4-44CC-8C70-04A37A5E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Pesos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/>
  <cols>
    <col min="1" max="4" width="2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</v>
      </c>
      <c r="C2">
        <v>450000</v>
      </c>
      <c r="D2">
        <f>B2*C2</f>
        <v>1800000</v>
      </c>
    </row>
    <row r="3" spans="1:4">
      <c r="A3" t="s">
        <v>5</v>
      </c>
      <c r="B3" s="2">
        <v>1</v>
      </c>
      <c r="C3">
        <v>850000</v>
      </c>
      <c r="D3">
        <f>B3*C3</f>
        <v>850000</v>
      </c>
    </row>
    <row r="4" spans="1:4">
      <c r="A4" t="s">
        <v>6</v>
      </c>
      <c r="B4" s="2">
        <v>2</v>
      </c>
      <c r="C4">
        <v>650000</v>
      </c>
      <c r="D4">
        <f>B4*C4</f>
        <v>1300000</v>
      </c>
    </row>
    <row r="5" spans="1:4">
      <c r="A5" t="s">
        <v>7</v>
      </c>
      <c r="B5" s="2">
        <v>1</v>
      </c>
      <c r="C5">
        <v>280000</v>
      </c>
      <c r="D5">
        <f>B5*C5</f>
        <v>280000</v>
      </c>
    </row>
    <row r="6" spans="1:4">
      <c r="A6" t="s">
        <v>8</v>
      </c>
      <c r="B6" s="2">
        <v>1</v>
      </c>
      <c r="C6">
        <v>300000</v>
      </c>
      <c r="D6">
        <f>B6*C6</f>
        <v>300000</v>
      </c>
    </row>
    <row r="7" spans="1:4">
      <c r="A7" t="s">
        <v>9</v>
      </c>
      <c r="B7" s="2">
        <v>1</v>
      </c>
      <c r="C7">
        <v>530000</v>
      </c>
      <c r="D7">
        <f>B7*C7</f>
        <v>530000</v>
      </c>
    </row>
    <row r="8" spans="1:4">
      <c r="A8" t="s">
        <v>10</v>
      </c>
      <c r="B8" s="2">
        <v>1</v>
      </c>
      <c r="C8">
        <v>400000</v>
      </c>
      <c r="D8">
        <f>B8*C8</f>
        <v>400000</v>
      </c>
    </row>
    <row r="9" spans="1:4">
      <c r="A9" s="3" t="s">
        <v>11</v>
      </c>
      <c r="D9" s="3">
        <f>SUM(D2:D8)</f>
        <v>5460000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2026-01-15T21:15:52Z</dcterms:created>
  <dcterms:modified xsi:type="dcterms:W3CDTF">2026-01-15T21:20:45Z</dcterms:modified>
  <cp:category/>
  <cp:contentStatus/>
</cp:coreProperties>
</file>